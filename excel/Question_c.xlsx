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FINAL PROJECT-DATA ANALYSIS\MIcrosoft Excel\"/>
    </mc:Choice>
  </mc:AlternateContent>
  <xr:revisionPtr revIDLastSave="0" documentId="13_ncr:1_{927AF23C-7F00-41A9-B28E-9637228EEA4C}" xr6:coauthVersionLast="47" xr6:coauthVersionMax="47" xr10:uidLastSave="{00000000-0000-0000-0000-000000000000}"/>
  <bookViews>
    <workbookView xWindow="-120" yWindow="-120" windowWidth="20730" windowHeight="11040" activeTab="2" xr2:uid="{A852C472-C690-41E0-9594-75792D1FBCA7}"/>
  </bookViews>
  <sheets>
    <sheet name=" Goal Seek Analysis" sheetId="1" r:id="rId1"/>
    <sheet name="Future Value Analysis" sheetId="2" r:id="rId2"/>
    <sheet name="Present Value Analysis" sheetId="3" r:id="rId3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 Goal Seek Analysis'!$E$1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B15" i="3"/>
  <c r="B10" i="3"/>
  <c r="B15" i="2"/>
  <c r="B9" i="1"/>
</calcChain>
</file>

<file path=xl/sharedStrings.xml><?xml version="1.0" encoding="utf-8"?>
<sst xmlns="http://schemas.openxmlformats.org/spreadsheetml/2006/main" count="51" uniqueCount="33">
  <si>
    <t>Description</t>
  </si>
  <si>
    <t>Value</t>
  </si>
  <si>
    <t>Number of Months</t>
  </si>
  <si>
    <t>Monthly Savings</t>
  </si>
  <si>
    <t>Total Savings</t>
  </si>
  <si>
    <t>Target Savings</t>
  </si>
  <si>
    <t>Item</t>
  </si>
  <si>
    <t>Required Monthly Savings</t>
  </si>
  <si>
    <t>How much must be saved monthly to accumulate 500,000  in 12 months?</t>
  </si>
  <si>
    <t>Data Table:</t>
  </si>
  <si>
    <t>Question:</t>
  </si>
  <si>
    <t>Result Table:</t>
  </si>
  <si>
    <t>Interpretation:</t>
  </si>
  <si>
    <t>Interest Rate</t>
  </si>
  <si>
    <t>Number of Years</t>
  </si>
  <si>
    <t>Present Value</t>
  </si>
  <si>
    <t xml:space="preserve"> </t>
  </si>
  <si>
    <t>Excel Formula:</t>
  </si>
  <si>
    <t>Result</t>
  </si>
  <si>
    <t xml:space="preserve">Item </t>
  </si>
  <si>
    <t>Future Value</t>
  </si>
  <si>
    <t>What will 1,000,000 be worth after 5 years at 10% annual interest?</t>
  </si>
  <si>
    <t>An investment of 1,000,000 at an annual interest rate of 10% will grow to approximately 1,610,510 after 5 years.</t>
  </si>
  <si>
    <t xml:space="preserve">  </t>
  </si>
  <si>
    <t>What is the present value of 2,000,000 to be received in 5 years at a discount rate of 10%?</t>
  </si>
  <si>
    <t>Discount Rate</t>
  </si>
  <si>
    <t xml:space="preserve"> Excel Formula</t>
  </si>
  <si>
    <t>2,000,000 expected in 5 years is wortj approximately 1,241,843 when discounted at 10%</t>
  </si>
  <si>
    <t>Goal Seek Table:</t>
  </si>
  <si>
    <t>The analysis showed that  41,667. must be saved monthly to reach the target.</t>
  </si>
  <si>
    <t>Set Cell</t>
  </si>
  <si>
    <t>To Value</t>
  </si>
  <si>
    <t>Changing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</si>
</sst>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7" formatCode="[$₦-466]\ #,##0"/>
    <numFmt numFmtId="171" formatCode="_-[$₦-466]\ * #,##0.00_-;\-[$₦-466]\ * #,##0.00_-;_-[$₦-466]\ * &quot;-&quot;??_-;_-@_-"/>
    <numFmt numFmtId="174" formatCode="[$₦-470]#,##0"/>
    <numFmt numFmtId="178" formatCode="_-[$₦-466]\ * #,##0_-;\-[$₦-466]\ * #,##0_-;_-[$₦-466]\ * &quot;-&quot;??_-;_-@_-"/>
    <numFmt numFmtId="186" formatCode="[$₦-468]\ #,##0"/>
    <numFmt numFmtId="188" formatCode="_-[$₦-469]\ * #,##0_-;\-[$₦-469]\ * #,##0_-;_-[$₦-469]\ * &quot;-&quot;??_-;_-@_-"/>
    <numFmt numFmtId="192" formatCode="_-[$₦-468]\ * #,##0_-;\-[$₦-468]\ * #,##0_-;_-[$₦-468]\ * &quot;-&quot;??_-;_-@_-"/>
    <numFmt numFmtId="195" formatCode="_-[$₦-46A]* #,##0_-;\-[$₦-46A]* #,##0_-;_-[$₦-46A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3" fontId="0" fillId="0" borderId="0" xfId="0" applyNumberFormat="1"/>
    <xf numFmtId="164" fontId="0" fillId="0" borderId="0" xfId="1" applyNumberFormat="1" applyFont="1"/>
    <xf numFmtId="164" fontId="2" fillId="0" borderId="0" xfId="1" applyNumberFormat="1" applyFont="1"/>
    <xf numFmtId="0" fontId="0" fillId="0" borderId="0" xfId="0" applyFont="1"/>
    <xf numFmtId="164" fontId="1" fillId="0" borderId="0" xfId="1" applyNumberFormat="1" applyFont="1"/>
    <xf numFmtId="167" fontId="0" fillId="0" borderId="0" xfId="0" applyNumberFormat="1"/>
    <xf numFmtId="9" fontId="0" fillId="0" borderId="0" xfId="1" applyNumberFormat="1" applyFont="1"/>
    <xf numFmtId="174" fontId="0" fillId="0" borderId="0" xfId="0" applyNumberFormat="1"/>
    <xf numFmtId="171" fontId="0" fillId="0" borderId="0" xfId="1" applyNumberFormat="1" applyFont="1"/>
    <xf numFmtId="178" fontId="0" fillId="0" borderId="0" xfId="1" applyNumberFormat="1" applyFont="1"/>
    <xf numFmtId="9" fontId="0" fillId="0" borderId="0" xfId="0" applyNumberFormat="1"/>
    <xf numFmtId="186" fontId="0" fillId="0" borderId="0" xfId="2" applyNumberFormat="1" applyFont="1"/>
    <xf numFmtId="188" fontId="0" fillId="0" borderId="0" xfId="0" applyNumberFormat="1" applyFont="1"/>
    <xf numFmtId="188" fontId="0" fillId="0" borderId="0" xfId="0" applyNumberFormat="1"/>
    <xf numFmtId="178" fontId="0" fillId="0" borderId="0" xfId="0" applyNumberFormat="1" applyFont="1"/>
    <xf numFmtId="192" fontId="0" fillId="0" borderId="0" xfId="1" applyNumberFormat="1" applyFont="1"/>
    <xf numFmtId="192" fontId="0" fillId="0" borderId="0" xfId="0" applyNumberFormat="1" applyAlignment="1">
      <alignment horizontal="right"/>
    </xf>
    <xf numFmtId="195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F4E9-C5DF-400F-8F0A-46591088CC55}">
  <dimension ref="A1:F21"/>
  <sheetViews>
    <sheetView workbookViewId="0">
      <selection activeCell="C7" sqref="C7"/>
    </sheetView>
  </sheetViews>
  <sheetFormatPr defaultRowHeight="15" x14ac:dyDescent="0.25"/>
  <cols>
    <col min="1" max="1" width="84" bestFit="1" customWidth="1"/>
    <col min="2" max="2" width="13.5703125" bestFit="1" customWidth="1"/>
    <col min="5" max="5" width="18" bestFit="1" customWidth="1"/>
    <col min="6" max="6" width="11.5703125" style="3" bestFit="1" customWidth="1"/>
  </cols>
  <sheetData>
    <row r="1" spans="1:6" x14ac:dyDescent="0.25">
      <c r="A1" s="1" t="s">
        <v>10</v>
      </c>
      <c r="E1" s="1"/>
      <c r="F1" s="4"/>
    </row>
    <row r="2" spans="1:6" x14ac:dyDescent="0.25">
      <c r="A2" s="5" t="s">
        <v>8</v>
      </c>
      <c r="E2" s="5"/>
      <c r="F2" s="6"/>
    </row>
    <row r="4" spans="1:6" x14ac:dyDescent="0.25">
      <c r="A4" s="1" t="s">
        <v>9</v>
      </c>
    </row>
    <row r="5" spans="1:6" x14ac:dyDescent="0.25">
      <c r="A5" s="1" t="s">
        <v>0</v>
      </c>
      <c r="B5" s="1" t="s">
        <v>1</v>
      </c>
    </row>
    <row r="6" spans="1:6" x14ac:dyDescent="0.25">
      <c r="A6" s="5" t="s">
        <v>5</v>
      </c>
      <c r="B6" s="16">
        <v>500000</v>
      </c>
    </row>
    <row r="7" spans="1:6" x14ac:dyDescent="0.25">
      <c r="A7" t="s">
        <v>2</v>
      </c>
      <c r="B7" s="2">
        <v>12</v>
      </c>
    </row>
    <row r="8" spans="1:6" x14ac:dyDescent="0.25">
      <c r="A8" t="s">
        <v>3</v>
      </c>
      <c r="B8" s="18">
        <v>20000</v>
      </c>
    </row>
    <row r="9" spans="1:6" x14ac:dyDescent="0.25">
      <c r="A9" t="s">
        <v>4</v>
      </c>
      <c r="B9" s="17">
        <f>B7*B8</f>
        <v>240000</v>
      </c>
    </row>
    <row r="10" spans="1:6" x14ac:dyDescent="0.25">
      <c r="B10" s="3"/>
    </row>
    <row r="11" spans="1:6" x14ac:dyDescent="0.25">
      <c r="A11" s="1" t="s">
        <v>28</v>
      </c>
    </row>
    <row r="12" spans="1:6" x14ac:dyDescent="0.25">
      <c r="A12" s="5" t="s">
        <v>30</v>
      </c>
      <c r="B12" s="14">
        <v>240000</v>
      </c>
    </row>
    <row r="13" spans="1:6" x14ac:dyDescent="0.25">
      <c r="A13" t="s">
        <v>31</v>
      </c>
      <c r="B13" s="15">
        <v>500000</v>
      </c>
    </row>
    <row r="14" spans="1:6" x14ac:dyDescent="0.25">
      <c r="A14" t="s">
        <v>32</v>
      </c>
      <c r="B14" s="15">
        <v>20000</v>
      </c>
    </row>
    <row r="16" spans="1:6" x14ac:dyDescent="0.25">
      <c r="A16" s="1" t="s">
        <v>11</v>
      </c>
    </row>
    <row r="17" spans="1:2" x14ac:dyDescent="0.25">
      <c r="A17" s="1" t="s">
        <v>6</v>
      </c>
      <c r="B17" s="1" t="s">
        <v>1</v>
      </c>
    </row>
    <row r="18" spans="1:2" x14ac:dyDescent="0.25">
      <c r="A18" t="s">
        <v>7</v>
      </c>
      <c r="B18" s="19">
        <v>41666.67</v>
      </c>
    </row>
    <row r="20" spans="1:2" x14ac:dyDescent="0.25">
      <c r="A20" s="1" t="s">
        <v>12</v>
      </c>
    </row>
    <row r="21" spans="1:2" x14ac:dyDescent="0.25">
      <c r="A21" s="5" t="s">
        <v>29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9211-CE5D-4D15-B8EC-B431AFD73B30}">
  <dimension ref="A1:C18"/>
  <sheetViews>
    <sheetView workbookViewId="0">
      <selection activeCell="B11" sqref="B11"/>
    </sheetView>
  </sheetViews>
  <sheetFormatPr defaultRowHeight="15" x14ac:dyDescent="0.25"/>
  <cols>
    <col min="1" max="1" width="101.42578125" bestFit="1" customWidth="1"/>
    <col min="2" max="2" width="15.140625" style="3" bestFit="1" customWidth="1"/>
  </cols>
  <sheetData>
    <row r="1" spans="1:2" x14ac:dyDescent="0.25">
      <c r="A1" s="1" t="s">
        <v>10</v>
      </c>
    </row>
    <row r="2" spans="1:2" x14ac:dyDescent="0.25">
      <c r="A2" t="s">
        <v>21</v>
      </c>
    </row>
    <row r="4" spans="1:2" x14ac:dyDescent="0.25">
      <c r="A4" s="1" t="s">
        <v>9</v>
      </c>
      <c r="B4" s="4"/>
    </row>
    <row r="5" spans="1:2" x14ac:dyDescent="0.25">
      <c r="A5" s="1" t="s">
        <v>6</v>
      </c>
      <c r="B5" s="4" t="s">
        <v>1</v>
      </c>
    </row>
    <row r="6" spans="1:2" x14ac:dyDescent="0.25">
      <c r="A6" s="1" t="s">
        <v>15</v>
      </c>
      <c r="B6" s="3">
        <v>1000000</v>
      </c>
    </row>
    <row r="7" spans="1:2" x14ac:dyDescent="0.25">
      <c r="A7" s="1" t="s">
        <v>13</v>
      </c>
      <c r="B7" s="8">
        <v>0.1</v>
      </c>
    </row>
    <row r="8" spans="1:2" x14ac:dyDescent="0.25">
      <c r="A8" s="1" t="s">
        <v>14</v>
      </c>
      <c r="B8" s="3">
        <v>5</v>
      </c>
    </row>
    <row r="10" spans="1:2" x14ac:dyDescent="0.25">
      <c r="A10" s="1" t="s">
        <v>17</v>
      </c>
    </row>
    <row r="11" spans="1:2" x14ac:dyDescent="0.25">
      <c r="A11" s="9"/>
      <c r="B11" s="10">
        <f>FV(B7,B8,0,-1000000)</f>
        <v>1610510.0000000005</v>
      </c>
    </row>
    <row r="13" spans="1:2" x14ac:dyDescent="0.25">
      <c r="A13" s="1" t="s">
        <v>18</v>
      </c>
    </row>
    <row r="14" spans="1:2" x14ac:dyDescent="0.25">
      <c r="A14" s="1" t="s">
        <v>19</v>
      </c>
      <c r="B14" s="4" t="s">
        <v>1</v>
      </c>
    </row>
    <row r="15" spans="1:2" x14ac:dyDescent="0.25">
      <c r="A15" s="1" t="s">
        <v>20</v>
      </c>
      <c r="B15" s="11">
        <f>FV(B7,B8,0,-1000000)</f>
        <v>1610510.0000000005</v>
      </c>
    </row>
    <row r="17" spans="1:3" x14ac:dyDescent="0.25">
      <c r="A17" s="1" t="s">
        <v>12</v>
      </c>
      <c r="C17" t="s">
        <v>23</v>
      </c>
    </row>
    <row r="18" spans="1:3" x14ac:dyDescent="0.25">
      <c r="A18" s="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3680-C767-4F2F-A7C5-B4C448A3EACC}">
  <dimension ref="A1:B18"/>
  <sheetViews>
    <sheetView tabSelected="1" workbookViewId="0">
      <selection activeCell="B18" sqref="B18"/>
    </sheetView>
  </sheetViews>
  <sheetFormatPr defaultRowHeight="15" x14ac:dyDescent="0.25"/>
  <cols>
    <col min="1" max="1" width="81.5703125" bestFit="1" customWidth="1"/>
    <col min="2" max="2" width="15.7109375" bestFit="1" customWidth="1"/>
  </cols>
  <sheetData>
    <row r="1" spans="1:2" x14ac:dyDescent="0.25">
      <c r="A1" s="1" t="s">
        <v>10</v>
      </c>
    </row>
    <row r="2" spans="1:2" x14ac:dyDescent="0.25">
      <c r="A2" t="s">
        <v>24</v>
      </c>
    </row>
    <row r="4" spans="1:2" x14ac:dyDescent="0.25">
      <c r="A4" s="1" t="s">
        <v>9</v>
      </c>
    </row>
    <row r="5" spans="1:2" x14ac:dyDescent="0.25">
      <c r="A5" s="5" t="s">
        <v>6</v>
      </c>
      <c r="B5" s="1" t="s">
        <v>1</v>
      </c>
    </row>
    <row r="6" spans="1:2" x14ac:dyDescent="0.25">
      <c r="A6" s="5" t="s">
        <v>20</v>
      </c>
      <c r="B6" s="2">
        <v>2000000</v>
      </c>
    </row>
    <row r="7" spans="1:2" x14ac:dyDescent="0.25">
      <c r="A7" s="5" t="s">
        <v>25</v>
      </c>
      <c r="B7" s="12">
        <v>0.1</v>
      </c>
    </row>
    <row r="8" spans="1:2" x14ac:dyDescent="0.25">
      <c r="A8" s="5" t="s">
        <v>14</v>
      </c>
      <c r="B8">
        <v>5</v>
      </c>
    </row>
    <row r="10" spans="1:2" x14ac:dyDescent="0.25">
      <c r="A10" s="1" t="s">
        <v>26</v>
      </c>
      <c r="B10" s="7">
        <f>PV(B7,5,0,-2000000)</f>
        <v>1241842.6461183098</v>
      </c>
    </row>
    <row r="13" spans="1:2" x14ac:dyDescent="0.25">
      <c r="A13" s="1" t="s">
        <v>11</v>
      </c>
    </row>
    <row r="14" spans="1:2" x14ac:dyDescent="0.25">
      <c r="A14" s="1" t="s">
        <v>6</v>
      </c>
      <c r="B14" s="1" t="s">
        <v>1</v>
      </c>
    </row>
    <row r="15" spans="1:2" x14ac:dyDescent="0.25">
      <c r="A15" s="1" t="s">
        <v>15</v>
      </c>
      <c r="B15" s="13">
        <f>PV(B7,B8,0,-2000000)</f>
        <v>1241842.6461183098</v>
      </c>
    </row>
    <row r="17" spans="1:2" x14ac:dyDescent="0.25">
      <c r="A17" s="1" t="s">
        <v>12</v>
      </c>
    </row>
    <row r="18" spans="1:2" x14ac:dyDescent="0.25">
      <c r="A18" s="5" t="s">
        <v>27</v>
      </c>
      <c r="B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Goal Seek Analysis</vt:lpstr>
      <vt:lpstr>Future Value Analysis</vt:lpstr>
      <vt:lpstr>Present Value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2026-06-09T08:10:51Z</dcterms:created>
  <dcterms:modified xsi:type="dcterms:W3CDTF">2026-06-09T21:40:48Z</dcterms:modified>
</cp:coreProperties>
</file>